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统计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'使用统计'!$A$1:$E$1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月预约次数对比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'使用统计'!B1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'使用统计'!$A$2:$A$11</f>
            </numRef>
          </cat>
          <val>
            <numRef>
              <f>'使用统计'!$B$2:$B$11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 ht="22" customHeight="1">
      <c r="A1" s="1" t="inlineStr">
        <is>
          <t>实验室名称</t>
        </is>
      </c>
      <c r="B1" s="1" t="inlineStr">
        <is>
          <t>月预约次数</t>
        </is>
      </c>
      <c r="C1" s="1" t="inlineStr">
        <is>
          <t>月使用人次</t>
        </is>
      </c>
      <c r="D1" s="1" t="inlineStr">
        <is>
          <t>月开放小时</t>
        </is>
      </c>
      <c r="E1" s="1" t="inlineStr">
        <is>
          <t>使用率(次数/开放日)</t>
        </is>
      </c>
    </row>
    <row r="2">
      <c r="A2" s="2" t="inlineStr">
        <is>
          <t>人工智能实验室</t>
        </is>
      </c>
      <c r="B2" s="2" t="n">
        <v>86</v>
      </c>
      <c r="C2" s="2" t="n">
        <v>642</v>
      </c>
      <c r="D2" s="2" t="n">
        <v>390</v>
      </c>
      <c r="E2" s="3">
        <f>IF(C2=0,0,B2/22)</f>
        <v/>
      </c>
    </row>
    <row r="3">
      <c r="A3" s="2" t="inlineStr">
        <is>
          <t>计算机视觉实验室</t>
        </is>
      </c>
      <c r="B3" s="2" t="n">
        <v>54</v>
      </c>
      <c r="C3" s="2" t="n">
        <v>380</v>
      </c>
      <c r="D3" s="2" t="n">
        <v>345</v>
      </c>
      <c r="E3" s="3">
        <f>IF(C3=0,0,B3/22)</f>
        <v/>
      </c>
    </row>
    <row r="4">
      <c r="A4" s="2" t="inlineStr">
        <is>
          <t>机器人创新实验室</t>
        </is>
      </c>
      <c r="B4" s="2" t="n">
        <v>71</v>
      </c>
      <c r="C4" s="2" t="n">
        <v>512</v>
      </c>
      <c r="D4" s="2" t="n">
        <v>330</v>
      </c>
      <c r="E4" s="3">
        <f>IF(C4=0,0,B4/22)</f>
        <v/>
      </c>
    </row>
    <row r="5">
      <c r="A5" s="2" t="inlineStr">
        <is>
          <t>物联网实验室</t>
        </is>
      </c>
      <c r="B5" s="2" t="n">
        <v>63</v>
      </c>
      <c r="C5" s="2" t="n">
        <v>448</v>
      </c>
      <c r="D5" s="2" t="n">
        <v>345</v>
      </c>
      <c r="E5" s="3">
        <f>IF(C5=0,0,B5/22)</f>
        <v/>
      </c>
    </row>
    <row r="6">
      <c r="A6" s="2" t="inlineStr">
        <is>
          <t>网络安全实验室</t>
        </is>
      </c>
      <c r="B6" s="2" t="n">
        <v>47</v>
      </c>
      <c r="C6" s="2" t="n">
        <v>296</v>
      </c>
      <c r="D6" s="2" t="n">
        <v>285</v>
      </c>
      <c r="E6" s="3">
        <f>IF(C6=0,0,B6/22)</f>
        <v/>
      </c>
    </row>
    <row r="7">
      <c r="A7" s="2" t="inlineStr">
        <is>
          <t>大数据分析实验室</t>
        </is>
      </c>
      <c r="B7" s="2" t="n">
        <v>78</v>
      </c>
      <c r="C7" s="2" t="n">
        <v>690</v>
      </c>
      <c r="D7" s="2" t="n">
        <v>420</v>
      </c>
      <c r="E7" s="3">
        <f>IF(C7=0,0,B7/22)</f>
        <v/>
      </c>
    </row>
    <row r="8">
      <c r="A8" s="2" t="inlineStr">
        <is>
          <t>云计算实验室</t>
        </is>
      </c>
      <c r="B8" s="2" t="n">
        <v>52</v>
      </c>
      <c r="C8" s="2" t="n">
        <v>371</v>
      </c>
      <c r="D8" s="2" t="n">
        <v>375</v>
      </c>
      <c r="E8" s="3">
        <f>IF(C8=0,0,B8/22)</f>
        <v/>
      </c>
    </row>
    <row r="9">
      <c r="A9" s="2" t="inlineStr">
        <is>
          <t>软件工程实验室</t>
        </is>
      </c>
      <c r="B9" s="2" t="n">
        <v>96</v>
      </c>
      <c r="C9" s="2" t="n">
        <v>1150</v>
      </c>
      <c r="D9" s="2" t="n">
        <v>405</v>
      </c>
      <c r="E9" s="3">
        <f>IF(C9=0,0,B9/22)</f>
        <v/>
      </c>
    </row>
    <row r="10">
      <c r="A10" s="2" t="inlineStr">
        <is>
          <t>数字媒体实验室</t>
        </is>
      </c>
      <c r="B10" s="2" t="n">
        <v>38</v>
      </c>
      <c r="C10" s="2" t="n">
        <v>205</v>
      </c>
      <c r="D10" s="2" t="n">
        <v>255</v>
      </c>
      <c r="E10" s="3">
        <f>IF(C10=0,0,B10/22)</f>
        <v/>
      </c>
    </row>
    <row r="11">
      <c r="A11" s="2" t="inlineStr">
        <is>
          <t>综合开放实验室</t>
        </is>
      </c>
      <c r="B11" s="2" t="n">
        <v>0</v>
      </c>
      <c r="C11" s="2" t="n">
        <v>0</v>
      </c>
      <c r="D11" s="2" t="n">
        <v>0</v>
      </c>
      <c r="E11" s="3">
        <f>IF(C11=0,0,B11/22)</f>
        <v/>
      </c>
    </row>
  </sheetData>
  <autoFilter ref="A1:E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统计周期：2026年9月21日—10月20日（演示数据，非系统导出）。</t>
        </is>
      </c>
    </row>
    <row r="3">
      <c r="A3" s="2" t="inlineStr">
        <is>
          <t>综合开放实验室关闭期间无使用记录。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