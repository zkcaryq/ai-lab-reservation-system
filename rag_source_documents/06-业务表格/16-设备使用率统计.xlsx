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率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'使用率'!$A$1:$E$1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12" customWidth="1" min="4" max="4"/>
    <col width="16" customWidth="1" min="5" max="5"/>
  </cols>
  <sheetData>
    <row r="1" ht="22" customHeight="1">
      <c r="A1" s="1" t="inlineStr">
        <is>
          <t>设备名称</t>
        </is>
      </c>
      <c r="B1" s="1" t="inlineStr">
        <is>
          <t>所属实验室</t>
        </is>
      </c>
      <c r="C1" s="1" t="inlineStr">
        <is>
          <t>数量</t>
        </is>
      </c>
      <c r="D1" s="1" t="inlineStr">
        <is>
          <t>月预约次数</t>
        </is>
      </c>
      <c r="E1" s="1" t="inlineStr">
        <is>
          <t>单台月均使用次数</t>
        </is>
      </c>
    </row>
    <row r="2">
      <c r="A2" s="2" t="inlineStr">
        <is>
          <t>GPU训练服务器</t>
        </is>
      </c>
      <c r="B2" s="2" t="inlineStr">
        <is>
          <t>人工智能实验室</t>
        </is>
      </c>
      <c r="C2" s="2" t="n">
        <v>2</v>
      </c>
      <c r="D2" s="2" t="n">
        <v>44</v>
      </c>
      <c r="E2" s="3">
        <f>D2/C2</f>
        <v/>
      </c>
    </row>
    <row r="3">
      <c r="A3" s="2" t="inlineStr">
        <is>
          <t>AI开发工作站</t>
        </is>
      </c>
      <c r="B3" s="2" t="inlineStr">
        <is>
          <t>人工智能实验室</t>
        </is>
      </c>
      <c r="C3" s="2" t="n">
        <v>12</v>
      </c>
      <c r="D3" s="2" t="n">
        <v>96</v>
      </c>
      <c r="E3" s="3">
        <f>D3/C3</f>
        <v/>
      </c>
    </row>
    <row r="4">
      <c r="A4" s="2" t="inlineStr">
        <is>
          <t>深度相机</t>
        </is>
      </c>
      <c r="B4" s="2" t="inlineStr">
        <is>
          <t>计算机视觉实验室</t>
        </is>
      </c>
      <c r="C4" s="2" t="n">
        <v>8</v>
      </c>
      <c r="D4" s="2" t="n">
        <v>38</v>
      </c>
      <c r="E4" s="3">
        <f>D4/C4</f>
        <v/>
      </c>
    </row>
    <row r="5">
      <c r="A5" s="2" t="inlineStr">
        <is>
          <t>工业相机</t>
        </is>
      </c>
      <c r="B5" s="2" t="inlineStr">
        <is>
          <t>计算机视觉实验室</t>
        </is>
      </c>
      <c r="C5" s="2" t="n">
        <v>6</v>
      </c>
      <c r="D5" s="2" t="n">
        <v>25</v>
      </c>
      <c r="E5" s="3">
        <f>D5/C5</f>
        <v/>
      </c>
    </row>
    <row r="6">
      <c r="A6" s="2" t="inlineStr">
        <is>
          <t>六轴机械臂</t>
        </is>
      </c>
      <c r="B6" s="2" t="inlineStr">
        <is>
          <t>机器人创新实验室</t>
        </is>
      </c>
      <c r="C6" s="2" t="n">
        <v>2</v>
      </c>
      <c r="D6" s="2" t="n">
        <v>21</v>
      </c>
      <c r="E6" s="3">
        <f>D6/C6</f>
        <v/>
      </c>
    </row>
    <row r="7">
      <c r="A7" s="2" t="inlineStr">
        <is>
          <t>移动机器人底盘</t>
        </is>
      </c>
      <c r="B7" s="2" t="inlineStr">
        <is>
          <t>机器人创新实验室</t>
        </is>
      </c>
      <c r="C7" s="2" t="n">
        <v>4</v>
      </c>
      <c r="D7" s="2" t="n">
        <v>32</v>
      </c>
      <c r="E7" s="3">
        <f>D7/C7</f>
        <v/>
      </c>
    </row>
    <row r="8">
      <c r="A8" s="2" t="inlineStr">
        <is>
          <t>示波器</t>
        </is>
      </c>
      <c r="B8" s="2" t="inlineStr">
        <is>
          <t>物联网实验室</t>
        </is>
      </c>
      <c r="C8" s="2" t="n">
        <v>8</v>
      </c>
      <c r="D8" s="2" t="n">
        <v>29</v>
      </c>
      <c r="E8" s="3">
        <f>D8/C8</f>
        <v/>
      </c>
    </row>
    <row r="9">
      <c r="A9" s="2" t="inlineStr">
        <is>
          <t>可编程电源</t>
        </is>
      </c>
      <c r="B9" s="2" t="inlineStr">
        <is>
          <t>物联网实验室</t>
        </is>
      </c>
      <c r="C9" s="2" t="n">
        <v>10</v>
      </c>
      <c r="D9" s="2" t="n">
        <v>34</v>
      </c>
      <c r="E9" s="3">
        <f>D9/C9</f>
        <v/>
      </c>
    </row>
    <row r="10">
      <c r="A10" s="2" t="inlineStr">
        <is>
          <t>攻防靶机服务器</t>
        </is>
      </c>
      <c r="B10" s="2" t="inlineStr">
        <is>
          <t>网络安全实验室</t>
        </is>
      </c>
      <c r="C10" s="2" t="n">
        <v>3</v>
      </c>
      <c r="D10" s="2" t="n">
        <v>18</v>
      </c>
      <c r="E10" s="3">
        <f>D10/C10</f>
        <v/>
      </c>
    </row>
    <row r="11">
      <c r="A11" s="2" t="inlineStr">
        <is>
          <t>数据计算节点</t>
        </is>
      </c>
      <c r="B11" s="2" t="inlineStr">
        <is>
          <t>大数据分析实验室</t>
        </is>
      </c>
      <c r="C11" s="2" t="n">
        <v>8</v>
      </c>
      <c r="D11" s="2" t="n">
        <v>52</v>
      </c>
      <c r="E11" s="3">
        <f>D11/C11</f>
        <v/>
      </c>
    </row>
    <row r="12">
      <c r="A12" s="2" t="inlineStr">
        <is>
          <t>虚拟化服务器</t>
        </is>
      </c>
      <c r="B12" s="2" t="inlineStr">
        <is>
          <t>云计算实验室</t>
        </is>
      </c>
      <c r="C12" s="2" t="n">
        <v>6</v>
      </c>
      <c r="D12" s="2" t="n">
        <v>36</v>
      </c>
      <c r="E12" s="3">
        <f>D12/C12</f>
        <v/>
      </c>
    </row>
    <row r="13">
      <c r="A13" s="2" t="inlineStr">
        <is>
          <t>开发主机</t>
        </is>
      </c>
      <c r="B13" s="2" t="inlineStr">
        <is>
          <t>软件工程实验室</t>
        </is>
      </c>
      <c r="C13" s="2" t="n">
        <v>40</v>
      </c>
      <c r="D13" s="2" t="n">
        <v>88</v>
      </c>
      <c r="E13" s="3">
        <f>D13/C13</f>
        <v/>
      </c>
    </row>
    <row r="14">
      <c r="A14" s="2" t="inlineStr">
        <is>
          <t>图形工作站</t>
        </is>
      </c>
      <c r="B14" s="2" t="inlineStr">
        <is>
          <t>数字媒体实验室</t>
        </is>
      </c>
      <c r="C14" s="2" t="n">
        <v>16</v>
      </c>
      <c r="D14" s="2" t="n">
        <v>42</v>
      </c>
      <c r="E14" s="3">
        <f>D14/C14</f>
        <v/>
      </c>
    </row>
    <row r="15">
      <c r="A15" s="2" t="inlineStr">
        <is>
          <t>3D打印机</t>
        </is>
      </c>
      <c r="B15" s="2" t="inlineStr">
        <is>
          <t>综合开放实验室</t>
        </is>
      </c>
      <c r="C15" s="2" t="n">
        <v>2</v>
      </c>
      <c r="D15" s="2" t="n">
        <v>0</v>
      </c>
      <c r="E15" s="3">
        <f>D15/C15</f>
        <v/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演示统计数据。3D打印机维修中+实验室关闭，使用为0。</t>
        </is>
      </c>
    </row>
    <row r="3">
      <c r="A3" s="2" t="inlineStr">
        <is>
          <t>设备名称、数量与04-设备资产总表一致。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